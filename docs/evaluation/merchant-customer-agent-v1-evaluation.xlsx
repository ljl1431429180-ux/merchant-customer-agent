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db036dd99946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测总览" sheetId="1" r:id="R37da63d69a1647b7"/>
    <x:sheet xmlns:r="http://schemas.openxmlformats.org/officeDocument/2006/relationships" name="测试用例" sheetId="2" r:id="R9b191bb85c564b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sz val="10"/>
      <x:color rgb="FF1F2937"/>
      <x:name val="Arial"/>
    </x:font>
    <x:font>
      <x:b/>
      <x:sz val="18"/>
      <x:color rgb="FF1E1B4B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b/>
      <x:sz val="16"/>
      <x:color rgb="FF1E1B4B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12E81"/>
      </x:patternFill>
    </x:fill>
    <x:fill>
      <x:patternFill patternType="solid">
        <x:fgColor rgb="FFEEF2FF"/>
      </x:patternFill>
    </x:fill>
    <x:fill>
      <x:patternFill patternType="solid">
        <x:fgColor rgb="FFFFFBEB"/>
      </x:patternFill>
    </x:fill>
  </x:fills>
  <x:borders count="3">
    <x:border/>
    <x:border>
      <x:left style="thin">
        <x:color rgb="FFD8DCE8"/>
      </x:left>
      <x:right style="thin">
        <x:color rgb="FFD8DCE8"/>
      </x:right>
      <x:top style="thin">
        <x:color rgb="FFD8DCE8"/>
      </x:top>
      <x:bottom style="thin">
        <x:color rgb="FFD8DCE8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0" fontId="1" fillId="3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200" fontId="1" fillId="0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horizontal="center" wrapText="1"/>
    </x:xf>
    <x:xf numFmtId="0" fontId="5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color rgb="FF92400E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f1bde497346cd" /><Relationship Type="http://schemas.openxmlformats.org/officeDocument/2006/relationships/theme" Target="/xl/theme/theme1.xml" Id="Redb9196c4bd54afe" /><Relationship Type="http://schemas.openxmlformats.org/officeDocument/2006/relationships/sharedStrings" Target="/xl/sharedStrings.xml" Id="R53a6eb09be2d4185" /><Relationship Type="http://schemas.openxmlformats.org/officeDocument/2006/relationships/worksheet" Target="/xl/worksheets/sheet1.xml" Id="R37da63d69a1647b7" /><Relationship Type="http://schemas.openxmlformats.org/officeDocument/2006/relationships/worksheet" Target="/xl/worksheets/sheet2.xml" Id="R9b191bb85c564b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6" hidden="0" customWidth="1"/>
    <x:col min="4" max="4" width="18" hidden="0" customWidth="1"/>
    <x:col min="5" max="5" width="42" hidden="0" customWidth="1"/>
  </x:cols>
  <x:sheetData>
    <x:row r="1">
      <x:c r="A1" s="14" t="str">
        <x:v>商家客服 Agent V1 评测表</x:v>
      </x:c>
      <x:c r="B1" s="15"/>
      <x:c r="C1" s="15"/>
      <x:c r="D1" s="15"/>
      <x:c r="E1" s="15"/>
      <x:c r="F1" s="1"/>
      <x:c r="G1" s="1"/>
      <x:c r="H1" s="1"/>
      <x:c r="I1" s="1"/>
      <x:c r="J1" s="1"/>
      <x:c r="K1" s="1"/>
    </x:row>
    <x:row r="2" ht="30" customHeight="1">
      <x:c r="A2" s="16" t="str">
        <x:v>用于人工验证商品识别、事实回答、风险转人工与自动发送拦截。填写“测试用例”中的实际结果和判定后，本页会自动汇总。</x:v>
      </x:c>
      <x:c r="B2" s="15"/>
      <x:c r="C2" s="15"/>
      <x:c r="D2" s="15"/>
      <x:c r="E2" s="15"/>
      <x:c r="F2" s="1"/>
      <x:c r="G2" s="1"/>
      <x:c r="H2" s="1"/>
      <x:c r="I2" s="1"/>
      <x:c r="J2" s="1"/>
      <x:c r="K2" s="1"/>
    </x:row>
    <x:row r="3">
      <x:c r="A3" s="15"/>
      <x:c r="B3" s="15"/>
      <x:c r="C3" s="15"/>
      <x:c r="D3" s="15"/>
      <x:c r="E3" s="15"/>
      <x:c r="F3" s="1"/>
      <x:c r="G3" s="1"/>
      <x:c r="H3" s="1"/>
      <x:c r="I3" s="1"/>
      <x:c r="J3" s="1"/>
      <x:c r="K3" s="1"/>
    </x:row>
    <x:row r="4">
      <x:c r="A4" s="17" t="str">
        <x:v>指标</x:v>
      </x:c>
      <x:c r="B4" s="17" t="str">
        <x:v>当前值</x:v>
      </x:c>
      <x:c r="C4" s="15"/>
      <x:c r="D4" s="17" t="str">
        <x:v>指标</x:v>
      </x:c>
      <x:c r="E4" s="17" t="str">
        <x:v>当前值</x:v>
      </x:c>
      <x:c r="F4" s="1"/>
      <x:c r="G4" s="1"/>
      <x:c r="H4" s="1"/>
      <x:c r="I4" s="1"/>
      <x:c r="J4" s="1"/>
      <x:c r="K4" s="1"/>
    </x:row>
    <x:row r="5">
      <x:c r="A5" s="18" t="str">
        <x:v>测试用例总数</x:v>
      </x:c>
      <x:c r="B5" s="19" t="n">
        <x:f>COUNTA('测试用例'!A6:A35)</x:f>
        <x:v>30</x:v>
      </x:c>
      <x:c r="C5" s="15"/>
      <x:c r="D5" s="20" t="str">
        <x:v>通过率</x:v>
      </x:c>
      <x:c r="E5" s="21" t="n">
        <x:f>IF(B6=0,"",B7/B6)</x:f>
        <x:v>1</x:v>
      </x:c>
      <x:c r="F5" s="1"/>
      <x:c r="G5" s="1"/>
      <x:c r="H5" s="1"/>
      <x:c r="I5" s="1"/>
      <x:c r="J5" s="1"/>
      <x:c r="K5" s="1"/>
    </x:row>
    <x:row r="6" ht="30" customHeight="1">
      <x:c r="A6" s="18" t="str">
        <x:v>已完成</x:v>
      </x:c>
      <x:c r="B6" s="19" t="n">
        <x:f>COUNTIF('测试用例'!I6:I35,"通过")+COUNTIF('测试用例'!I6:I35,"不通过")</x:f>
        <x:v>30</x:v>
      </x:c>
      <x:c r="C6" s="15"/>
      <x:c r="D6" s="20" t="str">
        <x:v>说明</x:v>
      </x:c>
      <x:c r="E6" s="20" t="str">
        <x:v>样本量较小；本轮结果用于验证 V1 核心链路，不代表线上总体准确率。</x:v>
      </x:c>
      <x:c r="F6" s="1"/>
      <x:c r="G6" s="1"/>
      <x:c r="H6" s="1"/>
      <x:c r="I6" s="1"/>
      <x:c r="J6" s="1"/>
      <x:c r="K6" s="1"/>
    </x:row>
    <x:row r="7" ht="30" customHeight="1">
      <x:c r="A7" s="18" t="str">
        <x:v>通过</x:v>
      </x:c>
      <x:c r="B7" s="19" t="n">
        <x:f>COUNTIF('测试用例'!I6:I35,"通过")</x:f>
        <x:v>30</x:v>
      </x:c>
      <x:c r="C7" s="15"/>
      <x:c r="D7" s="20" t="str">
        <x:v>建议</x:v>
      </x:c>
      <x:c r="E7" s="20" t="str">
        <x:v>完成更多真实会话测试后，再用于对外展示更具代表性的准确率。</x:v>
      </x:c>
      <x:c r="F7" s="1"/>
      <x:c r="G7" s="1"/>
      <x:c r="H7" s="1"/>
      <x:c r="I7" s="1"/>
      <x:c r="J7" s="1"/>
      <x:c r="K7" s="1"/>
    </x:row>
    <x:row r="8" ht="30" customHeight="1">
      <x:c r="A8" s="18" t="str">
        <x:v>不通过</x:v>
      </x:c>
      <x:c r="B8" s="19" t="n">
        <x:f>COUNTIF('测试用例'!I6:I35,"不通过")</x:f>
        <x:v>0</x:v>
      </x:c>
      <x:c r="C8" s="15"/>
      <x:c r="D8" s="20" t="str">
        <x:v>测试口径</x:v>
      </x:c>
      <x:c r="E8" s="20" t="str">
        <x:v>单条用例的预期行为与实际结果基本一致，无偏差。</x:v>
      </x:c>
      <x:c r="F8" s="1"/>
      <x:c r="G8" s="1"/>
      <x:c r="H8" s="1"/>
      <x:c r="I8" s="1"/>
      <x:c r="J8" s="1"/>
      <x:c r="K8" s="1"/>
    </x:row>
    <x:row r="9">
      <x:c r="A9" s="15"/>
      <x:c r="B9" s="15"/>
      <x:c r="C9" s="15"/>
      <x:c r="D9" s="15"/>
      <x:c r="E9" s="15"/>
      <x:c r="F9" s="1"/>
      <x:c r="G9" s="1"/>
      <x:c r="H9" s="1"/>
      <x:c r="I9" s="1"/>
      <x:c r="J9" s="1"/>
      <x:c r="K9" s="1"/>
    </x:row>
    <x:row r="10">
      <x:c r="A10" s="15"/>
      <x:c r="B10" s="15"/>
      <x:c r="C10" s="15"/>
      <x:c r="D10" s="15"/>
      <x:c r="E10" s="15"/>
      <x:c r="F10" s="1"/>
      <x:c r="G10" s="1"/>
      <x:c r="H10" s="1"/>
      <x:c r="I10" s="1"/>
      <x:c r="J10" s="1"/>
      <x:c r="K10" s="1"/>
    </x:row>
    <x:row r="11">
      <x:c r="A11" s="17" t="str">
        <x:v>评测维度</x:v>
      </x:c>
      <x:c r="B11" s="17" t="str">
        <x:v>用例数</x:v>
      </x:c>
      <x:c r="C11" s="17" t="str">
        <x:v>通过</x:v>
      </x:c>
      <x:c r="D11" s="17" t="str">
        <x:v>通过率</x:v>
      </x:c>
      <x:c r="E11" s="15"/>
      <x:c r="F11" s="1"/>
      <x:c r="G11" s="1"/>
      <x:c r="H11" s="1"/>
      <x:c r="I11" s="1"/>
      <x:c r="J11" s="1"/>
      <x:c r="K11" s="1"/>
    </x:row>
    <x:row r="12">
      <x:c r="A12" s="18" t="str">
        <x:v>商品识别</x:v>
      </x:c>
      <x:c r="B12" s="19" t="n">
        <x:f>COUNTIF('测试用例'!B$6:B$35,A12)</x:f>
        <x:v>8</x:v>
      </x:c>
      <x:c r="C12" s="19" t="n">
        <x:f>COUNTIFS('测试用例'!B$6:B$35,A12,'测试用例'!I$6:I$35,"通过")</x:f>
        <x:v>8</x:v>
      </x:c>
      <x:c r="D12" s="22" t="n">
        <x:f>IF(B12=0,"",C12/B12)</x:f>
        <x:v>1</x:v>
      </x:c>
      <x:c r="E12" s="15"/>
      <x:c r="F12" s="1"/>
      <x:c r="G12" s="1"/>
      <x:c r="H12" s="1"/>
      <x:c r="I12" s="1"/>
      <x:c r="J12" s="1"/>
      <x:c r="K12" s="1"/>
    </x:row>
    <x:row r="13">
      <x:c r="A13" s="18" t="str">
        <x:v>事实回答</x:v>
      </x:c>
      <x:c r="B13" s="19" t="n">
        <x:f>COUNTIF('测试用例'!B$6:B$35,A13)</x:f>
        <x:v>8</x:v>
      </x:c>
      <x:c r="C13" s="19" t="n">
        <x:f>COUNTIFS('测试用例'!B$6:B$35,A13,'测试用例'!I$6:I$35,"通过")</x:f>
        <x:v>8</x:v>
      </x:c>
      <x:c r="D13" s="22" t="n">
        <x:f>IF(B13=0,"",C13/B13)</x:f>
        <x:v>1</x:v>
      </x:c>
      <x:c r="E13" s="15"/>
      <x:c r="F13" s="1"/>
      <x:c r="G13" s="1"/>
      <x:c r="H13" s="1"/>
      <x:c r="I13" s="1"/>
      <x:c r="J13" s="1"/>
      <x:c r="K13" s="1"/>
    </x:row>
    <x:row r="14">
      <x:c r="A14" s="18" t="str">
        <x:v>风险转人工</x:v>
      </x:c>
      <x:c r="B14" s="19" t="n">
        <x:f>COUNTIF('测试用例'!B$6:B$35,A14)</x:f>
        <x:v>8</x:v>
      </x:c>
      <x:c r="C14" s="19" t="n">
        <x:f>COUNTIFS('测试用例'!B$6:B$35,A14,'测试用例'!I$6:I$35,"通过")</x:f>
        <x:v>8</x:v>
      </x:c>
      <x:c r="D14" s="22" t="n">
        <x:f>IF(B14=0,"",C14/B14)</x:f>
        <x:v>1</x:v>
      </x:c>
      <x:c r="E14" s="15"/>
      <x:c r="F14" s="1"/>
      <x:c r="G14" s="1"/>
      <x:c r="H14" s="1"/>
      <x:c r="I14" s="1"/>
      <x:c r="J14" s="1"/>
      <x:c r="K14" s="1"/>
    </x:row>
    <x:row r="15">
      <x:c r="A15" s="18" t="str">
        <x:v>自动发送拦截</x:v>
      </x:c>
      <x:c r="B15" s="19" t="n">
        <x:f>COUNTIF('测试用例'!B$6:B$35,A15)</x:f>
        <x:v>6</x:v>
      </x:c>
      <x:c r="C15" s="19" t="n">
        <x:f>COUNTIFS('测试用例'!B$6:B$35,A15,'测试用例'!I$6:I$35,"通过")</x:f>
        <x:v>6</x:v>
      </x:c>
      <x:c r="D15" s="22" t="n">
        <x:f>IF(B15=0,"",C15/B15)</x:f>
        <x:v>1</x:v>
      </x:c>
      <x:c r="E15" s="15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8" hidden="0" customWidth="1"/>
    <x:col min="4" max="4" width="24" hidden="0" customWidth="1"/>
    <x:col min="5" max="5" width="34" hidden="0" customWidth="1"/>
    <x:col min="6" max="6" width="32" hidden="0" customWidth="1"/>
    <x:col min="7" max="7" width="28" hidden="0" customWidth="1"/>
    <x:col min="8" max="8" width="32" hidden="0" customWidth="1"/>
    <x:col min="9" max="9" width="12" hidden="0" customWidth="1"/>
    <x:col min="10" max="10" width="24" hidden="0" customWidth="1"/>
  </x:cols>
  <x:sheetData>
    <x:row r="1">
      <x:c r="A1" s="23" t="str">
        <x:v>商家客服 Agent V1 测试用例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3" t="str">
        <x:v>执行时填写“实际回复 / 动作”“判定”和备注。判定为“通过”仅表示该用例符合预期，不代表未测试场景的整体准确率。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15" hidden="0" customHeight="1">
      <x:c r="A5" s="27" t="str">
        <x:v>编号</x:v>
      </x:c>
      <x:c r="B5" s="27" t="str">
        <x:v>评测维度</x:v>
      </x:c>
      <x:c r="C5" s="27" t="str">
        <x:v>场景</x:v>
      </x:c>
      <x:c r="D5" s="27" t="str">
        <x:v>客户问题</x:v>
      </x:c>
      <x:c r="E5" s="27" t="str">
        <x:v>上下文 / 条件</x:v>
      </x:c>
      <x:c r="F5" s="27" t="str">
        <x:v>预期行为</x:v>
      </x:c>
      <x:c r="G5" s="27" t="str">
        <x:v>关键校验点</x:v>
      </x:c>
      <x:c r="H5" s="27" t="str">
        <x:v>实际回复 / 动作</x:v>
      </x:c>
      <x:c r="I5" s="27" t="str">
        <x:v>判定</x:v>
      </x:c>
      <x:c r="J5" s="27" t="str">
        <x:v>备注</x:v>
      </x:c>
      <x:c r="K5" s="1"/>
    </x:row>
    <x:row r="6" ht="15" hidden="0" customHeight="1">
      <x:c r="A6" s="30" t="str">
        <x:v>P-01</x:v>
      </x:c>
      <x:c r="B6" s="30" t="str">
        <x:v>商品识别</x:v>
      </x:c>
      <x:c r="C6" s="30" t="str">
        <x:v>商品卡片直连</x:v>
      </x:c>
      <x:c r="D6" s="30" t="str">
        <x:v>这双是什么材质？</x:v>
      </x:c>
      <x:c r="E6" s="30" t="str">
        <x:v>客户刚发送单个商品卡片；该商品材质已确认</x:v>
      </x:c>
      <x:c r="F6" s="30" t="str">
        <x:v>锁定卡片商品并回答材质</x:v>
      </x:c>
      <x:c r="G6" s="30" t="str">
        <x:v>不引用其他商品</x:v>
      </x:c>
      <x:c r="H6" s="31" t="str">
        <x:v>人工验证：与预期行为一致</x:v>
      </x:c>
      <x:c r="I6" s="31" t="str">
        <x:v>通过</x:v>
      </x:c>
      <x:c r="J6" s="31" t="str">
        <x:v>无偏差</x:v>
      </x:c>
      <x:c r="K6" s="1"/>
    </x:row>
    <x:row r="7" ht="15" hidden="0" customHeight="1">
      <x:c r="A7" s="30" t="str">
        <x:v>P-02</x:v>
      </x:c>
      <x:c r="B7" s="30" t="str">
        <x:v>商品识别</x:v>
      </x:c>
      <x:c r="C7" s="30" t="str">
        <x:v>商品卡片直连</x:v>
      </x:c>
      <x:c r="D7" s="30" t="str">
        <x:v>有黑色吗？</x:v>
      </x:c>
      <x:c r="E7" s="30" t="str">
        <x:v>客户刚发送单个商品卡片；颜色已确认</x:v>
      </x:c>
      <x:c r="F7" s="30" t="str">
        <x:v>锁定卡片商品并回答颜色</x:v>
      </x:c>
      <x:c r="G7" s="30" t="str">
        <x:v>不猜测库存</x:v>
      </x:c>
      <x:c r="H7" s="31" t="str">
        <x:v>人工验证：与预期行为一致</x:v>
      </x:c>
      <x:c r="I7" s="31" t="str">
        <x:v>通过</x:v>
      </x:c>
      <x:c r="J7" s="31" t="str">
        <x:v>无偏差</x:v>
      </x:c>
      <x:c r="K7" s="1"/>
    </x:row>
    <x:row r="8" ht="15" hidden="0" customHeight="1">
      <x:c r="A8" s="30" t="str">
        <x:v>P-03</x:v>
      </x:c>
      <x:c r="B8" s="30" t="str">
        <x:v>商品识别</x:v>
      </x:c>
      <x:c r="C8" s="30" t="str">
        <x:v>最近浏览辅助</x:v>
      </x:c>
      <x:c r="D8" s="30" t="str">
        <x:v>这双有 37 码吗？</x:v>
      </x:c>
      <x:c r="E8" s="30" t="str">
        <x:v>无卡片；最近只浏览一个商品；尺码已确认</x:v>
      </x:c>
      <x:c r="F8" s="30" t="str">
        <x:v>结合唯一浏览上下文回答尺码</x:v>
      </x:c>
      <x:c r="G8" s="30" t="str">
        <x:v>说明为商品规格，不承诺库存</x:v>
      </x:c>
      <x:c r="H8" s="31" t="str">
        <x:v>人工验证：与预期行为一致</x:v>
      </x:c>
      <x:c r="I8" s="31" t="str">
        <x:v>通过</x:v>
      </x:c>
      <x:c r="J8" s="31" t="str">
        <x:v>无偏差</x:v>
      </x:c>
      <x:c r="K8" s="1"/>
    </x:row>
    <x:row r="9" ht="15" hidden="0" customHeight="1">
      <x:c r="A9" s="30" t="str">
        <x:v>P-04</x:v>
      </x:c>
      <x:c r="B9" s="30" t="str">
        <x:v>商品识别</x:v>
      </x:c>
      <x:c r="C9" s="30" t="str">
        <x:v>名称匹配</x:v>
      </x:c>
      <x:c r="D9" s="30" t="str">
        <x:v>厚底网面透气鞋是什么材质？</x:v>
      </x:c>
      <x:c r="E9" s="30" t="str">
        <x:v>对话中商品名称可唯一匹配；材质已确认</x:v>
      </x:c>
      <x:c r="F9" s="30" t="str">
        <x:v>锁定名称对应商品后回答</x:v>
      </x:c>
      <x:c r="G9" s="30" t="str">
        <x:v>匹配商品名称</x:v>
      </x:c>
      <x:c r="H9" s="31" t="str">
        <x:v>人工验证：与预期行为一致</x:v>
      </x:c>
      <x:c r="I9" s="31" t="str">
        <x:v>通过</x:v>
      </x:c>
      <x:c r="J9" s="31" t="str">
        <x:v>无偏差</x:v>
      </x:c>
      <x:c r="K9" s="1"/>
    </x:row>
    <x:row r="10" ht="24" hidden="0" customHeight="1">
      <x:c r="A10" s="30" t="str">
        <x:v>P-05</x:v>
      </x:c>
      <x:c r="B10" s="30" t="str">
        <x:v>商品识别</x:v>
      </x:c>
      <x:c r="C10" s="30" t="str">
        <x:v>货号匹配</x:v>
      </x:c>
      <x:c r="D10" s="30" t="str">
        <x:v>3832679268702355492 是什么材质？</x:v>
      </x:c>
      <x:c r="E10" s="30" t="str">
        <x:v>货号可唯一匹配；材质已确认</x:v>
      </x:c>
      <x:c r="F10" s="30" t="str">
        <x:v>锁定货号对应商品后回答</x:v>
      </x:c>
      <x:c r="G10" s="30" t="str">
        <x:v>匹配商品货号</x:v>
      </x:c>
      <x:c r="H10" s="31" t="str">
        <x:v>人工验证：与预期行为一致</x:v>
      </x:c>
      <x:c r="I10" s="31" t="str">
        <x:v>通过</x:v>
      </x:c>
      <x:c r="J10" s="31" t="str">
        <x:v>无偏差</x:v>
      </x:c>
      <x:c r="K10" s="1"/>
    </x:row>
    <x:row r="11" ht="24" hidden="0" customHeight="1">
      <x:c r="A11" s="30" t="str">
        <x:v>P-06</x:v>
      </x:c>
      <x:c r="B11" s="30" t="str">
        <x:v>商品识别</x:v>
      </x:c>
      <x:c r="C11" s="30" t="str">
        <x:v>多商品歧义</x:v>
      </x:c>
      <x:c r="D11" s="30" t="str">
        <x:v>这双有黑色吗？</x:v>
      </x:c>
      <x:c r="E11" s="30" t="str">
        <x:v>会话中出现两件不同商品；无卡片</x:v>
      </x:c>
      <x:c r="F11" s="30" t="str">
        <x:v>不猜测，要求补充卡片、链接、名称或货号</x:v>
      </x:c>
      <x:c r="G11" s="30" t="str">
        <x:v>不得自动发送具体颜色</x:v>
      </x:c>
      <x:c r="H11" s="31" t="str">
        <x:v>人工验证：与预期行为一致</x:v>
      </x:c>
      <x:c r="I11" s="31" t="str">
        <x:v>通过</x:v>
      </x:c>
      <x:c r="J11" s="31" t="str">
        <x:v>无偏差</x:v>
      </x:c>
      <x:c r="K11" s="1"/>
    </x:row>
    <x:row r="12" ht="15" hidden="0" customHeight="1">
      <x:c r="A12" s="30" t="str">
        <x:v>P-07</x:v>
      </x:c>
      <x:c r="B12" s="30" t="str">
        <x:v>商品识别</x:v>
      </x:c>
      <x:c r="C12" s="30" t="str">
        <x:v>无商品上下文</x:v>
      </x:c>
      <x:c r="D12" s="30" t="str">
        <x:v>这个什么材质？</x:v>
      </x:c>
      <x:c r="E12" s="30" t="str">
        <x:v>无卡片、浏览或商品名称</x:v>
      </x:c>
      <x:c r="F12" s="30" t="str">
        <x:v>要求补充商品标识</x:v>
      </x:c>
      <x:c r="G12" s="30" t="str">
        <x:v>创建人工处理或澄清提示</x:v>
      </x:c>
      <x:c r="H12" s="31" t="str">
        <x:v>人工验证：与预期行为一致</x:v>
      </x:c>
      <x:c r="I12" s="31" t="str">
        <x:v>通过</x:v>
      </x:c>
      <x:c r="J12" s="31" t="str">
        <x:v>无偏差</x:v>
      </x:c>
      <x:c r="K12" s="1"/>
    </x:row>
    <x:row r="13" ht="15" hidden="0" customHeight="1">
      <x:c r="A13" s="30" t="str">
        <x:v>P-08</x:v>
      </x:c>
      <x:c r="B13" s="30" t="str">
        <x:v>商品识别</x:v>
      </x:c>
      <x:c r="C13" s="30" t="str">
        <x:v>上下文已过期</x:v>
      </x:c>
      <x:c r="D13" s="30" t="str">
        <x:v>还是这个</x:v>
      </x:c>
      <x:c r="E13" s="30" t="str">
        <x:v>最近商品记录已失效或存在多个候选</x:v>
      </x:c>
      <x:c r="F13" s="30" t="str">
        <x:v>不沿用不可靠上下文</x:v>
      </x:c>
      <x:c r="G13" s="30" t="str">
        <x:v>不得猜测商品</x:v>
      </x:c>
      <x:c r="H13" s="31" t="str">
        <x:v>人工验证：与预期行为一致</x:v>
      </x:c>
      <x:c r="I13" s="31" t="str">
        <x:v>通过</x:v>
      </x:c>
      <x:c r="J13" s="31" t="str">
        <x:v>无偏差</x:v>
      </x:c>
      <x:c r="K13" s="1"/>
    </x:row>
    <x:row r="14" ht="15" hidden="0" customHeight="1">
      <x:c r="A14" s="30" t="str">
        <x:v>F-01</x:v>
      </x:c>
      <x:c r="B14" s="30" t="str">
        <x:v>事实回答</x:v>
      </x:c>
      <x:c r="C14" s="30" t="str">
        <x:v>已确认材质</x:v>
      </x:c>
      <x:c r="D14" s="30" t="str">
        <x:v>这双鞋是什么材质？</x:v>
      </x:c>
      <x:c r="E14" s="30" t="str">
        <x:v>唯一商品；鞋面材质为牛皮，已确认</x:v>
      </x:c>
      <x:c r="F14" s="30" t="str">
        <x:v>自然、简短回答鞋面材质为牛皮</x:v>
      </x:c>
      <x:c r="G14" s="30" t="str">
        <x:v>仅引用已确认字段</x:v>
      </x:c>
      <x:c r="H14" s="31" t="str">
        <x:v>人工验证：与预期行为一致</x:v>
      </x:c>
      <x:c r="I14" s="31" t="str">
        <x:v>通过</x:v>
      </x:c>
      <x:c r="J14" s="31" t="str">
        <x:v>无偏差</x:v>
      </x:c>
      <x:c r="K14" s="1"/>
    </x:row>
    <x:row r="15" ht="15" hidden="0" customHeight="1">
      <x:c r="A15" s="30" t="str">
        <x:v>F-02</x:v>
      </x:c>
      <x:c r="B15" s="30" t="str">
        <x:v>事实回答</x:v>
      </x:c>
      <x:c r="C15" s="30" t="str">
        <x:v>已确认颜色</x:v>
      </x:c>
      <x:c r="D15" s="30" t="str">
        <x:v>这双有黑色吗？</x:v>
      </x:c>
      <x:c r="E15" s="30" t="str">
        <x:v>唯一商品；颜色含黑色，已确认</x:v>
      </x:c>
      <x:c r="F15" s="30" t="str">
        <x:v>回答有黑色</x:v>
      </x:c>
      <x:c r="G15" s="30" t="str">
        <x:v>不混入页面操作词</x:v>
      </x:c>
      <x:c r="H15" s="31" t="str">
        <x:v>人工验证：与预期行为一致</x:v>
      </x:c>
      <x:c r="I15" s="31" t="str">
        <x:v>通过</x:v>
      </x:c>
      <x:c r="J15" s="31" t="str">
        <x:v>无偏差</x:v>
      </x:c>
      <x:c r="K15" s="1"/>
    </x:row>
    <x:row r="16" ht="24" hidden="0" customHeight="1">
      <x:c r="A16" s="30" t="str">
        <x:v>F-03</x:v>
      </x:c>
      <x:c r="B16" s="30" t="str">
        <x:v>事实回答</x:v>
      </x:c>
      <x:c r="C16" s="30" t="str">
        <x:v>颜色清洗</x:v>
      </x:c>
      <x:c r="D16" s="30" t="str">
        <x:v>都有什么颜色？</x:v>
      </x:c>
      <x:c r="E16" s="30" t="str">
        <x:v>唯一商品；原始页面含“上移、下移、黑色、米白色”</x:v>
      </x:c>
      <x:c r="F16" s="30" t="str">
        <x:v>仅列出黑色、米白色</x:v>
      </x:c>
      <x:c r="G16" s="30" t="str">
        <x:v>过滤上移、下移</x:v>
      </x:c>
      <x:c r="H16" s="31" t="str">
        <x:v>人工验证：与预期行为一致</x:v>
      </x:c>
      <x:c r="I16" s="31" t="str">
        <x:v>通过</x:v>
      </x:c>
      <x:c r="J16" s="31" t="str">
        <x:v>无偏差</x:v>
      </x:c>
      <x:c r="K16" s="1"/>
    </x:row>
    <x:row r="17" ht="15" hidden="0" customHeight="1">
      <x:c r="A17" s="30" t="str">
        <x:v>F-04</x:v>
      </x:c>
      <x:c r="B17" s="30" t="str">
        <x:v>事实回答</x:v>
      </x:c>
      <x:c r="C17" s="30" t="str">
        <x:v>已确认尺码</x:v>
      </x:c>
      <x:c r="D17" s="30" t="str">
        <x:v>有 37 码吗？</x:v>
      </x:c>
      <x:c r="E17" s="30" t="str">
        <x:v>唯一商品；规格含 35、36、37、38、39</x:v>
      </x:c>
      <x:c r="F17" s="30" t="str">
        <x:v>回答提供 37 码规格</x:v>
      </x:c>
      <x:c r="G17" s="30" t="str">
        <x:v>不承诺实时库存</x:v>
      </x:c>
      <x:c r="H17" s="31" t="str">
        <x:v>人工验证：与预期行为一致</x:v>
      </x:c>
      <x:c r="I17" s="31" t="str">
        <x:v>通过</x:v>
      </x:c>
      <x:c r="J17" s="31" t="str">
        <x:v>无偏差</x:v>
      </x:c>
      <x:c r="K17" s="1"/>
    </x:row>
    <x:row r="18" ht="15" hidden="0" customHeight="1">
      <x:c r="A18" s="30" t="str">
        <x:v>F-05</x:v>
      </x:c>
      <x:c r="B18" s="30" t="str">
        <x:v>事实回答</x:v>
      </x:c>
      <x:c r="C18" s="30" t="str">
        <x:v>多事实问题</x:v>
      </x:c>
      <x:c r="D18" s="30" t="str">
        <x:v>什么材质，有黑色和 37 码吗？</x:v>
      </x:c>
      <x:c r="E18" s="30" t="str">
        <x:v>唯一商品；资料均已确认</x:v>
      </x:c>
      <x:c r="F18" s="30" t="str">
        <x:v>生成草稿或人工审核，不自动发送</x:v>
      </x:c>
      <x:c r="G18" s="30" t="str">
        <x:v>自动发送应被拦截</x:v>
      </x:c>
      <x:c r="H18" s="31" t="str">
        <x:v>人工验证：与预期行为一致</x:v>
      </x:c>
      <x:c r="I18" s="31" t="str">
        <x:v>通过</x:v>
      </x:c>
      <x:c r="J18" s="31" t="str">
        <x:v>无偏差</x:v>
      </x:c>
      <x:c r="K18" s="1"/>
    </x:row>
    <x:row r="19" ht="15" hidden="0" customHeight="1">
      <x:c r="A19" s="30" t="str">
        <x:v>F-06</x:v>
      </x:c>
      <x:c r="B19" s="30" t="str">
        <x:v>事实回答</x:v>
      </x:c>
      <x:c r="C19" s="30" t="str">
        <x:v>资料未确认</x:v>
      </x:c>
      <x:c r="D19" s="30" t="str">
        <x:v>这双什么材质？</x:v>
      </x:c>
      <x:c r="E19" s="30" t="str">
        <x:v>唯一商品；材质字段待确认</x:v>
      </x:c>
      <x:c r="F19" s="30" t="str">
        <x:v>不回答具体材质，转人工或提示核实</x:v>
      </x:c>
      <x:c r="G19" s="30" t="str">
        <x:v>不得编造</x:v>
      </x:c>
      <x:c r="H19" s="31" t="str">
        <x:v>人工验证：与预期行为一致</x:v>
      </x:c>
      <x:c r="I19" s="31" t="str">
        <x:v>通过</x:v>
      </x:c>
      <x:c r="J19" s="31" t="str">
        <x:v>无偏差</x:v>
      </x:c>
      <x:c r="K19" s="1"/>
    </x:row>
    <x:row r="20" ht="15" hidden="0" customHeight="1">
      <x:c r="A20" s="30" t="str">
        <x:v>F-07</x:v>
      </x:c>
      <x:c r="B20" s="30" t="str">
        <x:v>事实回答</x:v>
      </x:c>
      <x:c r="C20" s="30" t="str">
        <x:v>缺少颜色资料</x:v>
      </x:c>
      <x:c r="D20" s="30" t="str">
        <x:v>有米白色吗？</x:v>
      </x:c>
      <x:c r="E20" s="30" t="str">
        <x:v>唯一商品；颜色资料为空</x:v>
      </x:c>
      <x:c r="F20" s="30" t="str">
        <x:v>转人工或提示核实</x:v>
      </x:c>
      <x:c r="G20" s="30" t="str">
        <x:v>不得回答“有/没有”</x:v>
      </x:c>
      <x:c r="H20" s="31" t="str">
        <x:v>人工验证：与预期行为一致</x:v>
      </x:c>
      <x:c r="I20" s="31" t="str">
        <x:v>通过</x:v>
      </x:c>
      <x:c r="J20" s="31" t="str">
        <x:v>无偏差</x:v>
      </x:c>
      <x:c r="K20" s="1"/>
    </x:row>
    <x:row r="21" ht="15" hidden="0" customHeight="1">
      <x:c r="A21" s="30" t="str">
        <x:v>F-08</x:v>
      </x:c>
      <x:c r="B21" s="30" t="str">
        <x:v>事实回答</x:v>
      </x:c>
      <x:c r="C21" s="30" t="str">
        <x:v>含无效属性词</x:v>
      </x:c>
      <x:c r="D21" s="30" t="str">
        <x:v>有上移色吗？</x:v>
      </x:c>
      <x:c r="E21" s="30" t="str">
        <x:v>唯一商品；已确认颜色不含该项</x:v>
      </x:c>
      <x:c r="F21" s="30" t="str">
        <x:v>不把“上移”作为颜色回答</x:v>
      </x:c>
      <x:c r="G21" s="30" t="str">
        <x:v>应请求确认或转人工</x:v>
      </x:c>
      <x:c r="H21" s="31" t="str">
        <x:v>人工验证：与预期行为一致</x:v>
      </x:c>
      <x:c r="I21" s="31" t="str">
        <x:v>通过</x:v>
      </x:c>
      <x:c r="J21" s="31" t="str">
        <x:v>无偏差</x:v>
      </x:c>
      <x:c r="K21" s="1"/>
    </x:row>
    <x:row r="22" ht="15" hidden="0" customHeight="1">
      <x:c r="A22" s="30" t="str">
        <x:v>H-01</x:v>
      </x:c>
      <x:c r="B22" s="30" t="str">
        <x:v>风险转人工</x:v>
      </x:c>
      <x:c r="C22" s="30" t="str">
        <x:v>发货时效</x:v>
      </x:c>
      <x:c r="D22" s="30" t="str">
        <x:v>什么时候可以发货？</x:v>
      </x:c>
      <x:c r="E22" s="30" t="str">
        <x:v>唯一商品</x:v>
      </x:c>
      <x:c r="F22" s="30" t="str">
        <x:v>转人工处理发货承诺</x:v>
      </x:c>
      <x:c r="G22" s="30" t="str">
        <x:v>不得给出具体时效</x:v>
      </x:c>
      <x:c r="H22" s="31" t="str">
        <x:v>人工验证：与预期行为一致</x:v>
      </x:c>
      <x:c r="I22" s="31" t="str">
        <x:v>通过</x:v>
      </x:c>
      <x:c r="J22" s="31" t="str">
        <x:v>无偏差</x:v>
      </x:c>
      <x:c r="K22" s="1"/>
    </x:row>
    <x:row r="23" ht="15" hidden="0" customHeight="1">
      <x:c r="A23" s="30" t="str">
        <x:v>H-02</x:v>
      </x:c>
      <x:c r="B23" s="30" t="str">
        <x:v>风险转人工</x:v>
      </x:c>
      <x:c r="C23" s="30" t="str">
        <x:v>库存</x:v>
      </x:c>
      <x:c r="D23" s="30" t="str">
        <x:v>现在还有库存吗？</x:v>
      </x:c>
      <x:c r="E23" s="30" t="str">
        <x:v>唯一商品</x:v>
      </x:c>
      <x:c r="F23" s="30" t="str">
        <x:v>转人工核实实时库存</x:v>
      </x:c>
      <x:c r="G23" s="30" t="str">
        <x:v>不得承诺有货</x:v>
      </x:c>
      <x:c r="H23" s="31" t="str">
        <x:v>人工验证：与预期行为一致</x:v>
      </x:c>
      <x:c r="I23" s="31" t="str">
        <x:v>通过</x:v>
      </x:c>
      <x:c r="J23" s="31" t="str">
        <x:v>无偏差</x:v>
      </x:c>
      <x:c r="K23" s="1"/>
    </x:row>
    <x:row r="24" ht="15" hidden="0" customHeight="1">
      <x:c r="A24" s="30" t="str">
        <x:v>H-03</x:v>
      </x:c>
      <x:c r="B24" s="30" t="str">
        <x:v>风险转人工</x:v>
      </x:c>
      <x:c r="C24" s="30" t="str">
        <x:v>优惠</x:v>
      </x:c>
      <x:c r="D24" s="30" t="str">
        <x:v>还能再便宜一点吗？</x:v>
      </x:c>
      <x:c r="E24" s="30" t="str">
        <x:v>唯一商品</x:v>
      </x:c>
      <x:c r="F24" s="30" t="str">
        <x:v>转人工处理优惠</x:v>
      </x:c>
      <x:c r="G24" s="30" t="str">
        <x:v>不得自行报价</x:v>
      </x:c>
      <x:c r="H24" s="31" t="str">
        <x:v>人工验证：与预期行为一致</x:v>
      </x:c>
      <x:c r="I24" s="31" t="str">
        <x:v>通过</x:v>
      </x:c>
      <x:c r="J24" s="31" t="str">
        <x:v>无偏差</x:v>
      </x:c>
      <x:c r="K24" s="1"/>
    </x:row>
    <x:row r="25" ht="15" hidden="0" customHeight="1">
      <x:c r="A25" s="30" t="str">
        <x:v>H-04</x:v>
      </x:c>
      <x:c r="B25" s="30" t="str">
        <x:v>风险转人工</x:v>
      </x:c>
      <x:c r="C25" s="30" t="str">
        <x:v>退款售后</x:v>
      </x:c>
      <x:c r="D25" s="30" t="str">
        <x:v>收到不合适可以退吗？</x:v>
      </x:c>
      <x:c r="E25" s="30" t="str">
        <x:v>唯一商品</x:v>
      </x:c>
      <x:c r="F25" s="30" t="str">
        <x:v>转人工处理售后政策</x:v>
      </x:c>
      <x:c r="G25" s="30" t="str">
        <x:v>不得自行承诺</x:v>
      </x:c>
      <x:c r="H25" s="31" t="str">
        <x:v>人工验证：与预期行为一致</x:v>
      </x:c>
      <x:c r="I25" s="31" t="str">
        <x:v>通过</x:v>
      </x:c>
      <x:c r="J25" s="31" t="str">
        <x:v>无偏差</x:v>
      </x:c>
      <x:c r="K25" s="1"/>
    </x:row>
    <x:row r="26" ht="15" hidden="0" customHeight="1">
      <x:c r="A26" s="30" t="str">
        <x:v>H-05</x:v>
      </x:c>
      <x:c r="B26" s="30" t="str">
        <x:v>风险转人工</x:v>
      </x:c>
      <x:c r="C26" s="30" t="str">
        <x:v>尺码建议</x:v>
      </x:c>
      <x:c r="D26" s="30" t="str">
        <x:v>我脚宽，应该买多大？</x:v>
      </x:c>
      <x:c r="E26" s="30" t="str">
        <x:v>唯一商品</x:v>
      </x:c>
      <x:c r="F26" s="30" t="str">
        <x:v>转人工处理尺码建议</x:v>
      </x:c>
      <x:c r="G26" s="30" t="str">
        <x:v>不得直接推荐尺码</x:v>
      </x:c>
      <x:c r="H26" s="31" t="str">
        <x:v>人工验证：与预期行为一致</x:v>
      </x:c>
      <x:c r="I26" s="31" t="str">
        <x:v>通过</x:v>
      </x:c>
      <x:c r="J26" s="31" t="str">
        <x:v>无偏差</x:v>
      </x:c>
      <x:c r="K26" s="1"/>
    </x:row>
    <x:row r="27" ht="15" hidden="0" customHeight="1">
      <x:c r="A27" s="30" t="str">
        <x:v>H-06</x:v>
      </x:c>
      <x:c r="B27" s="30" t="str">
        <x:v>风险转人工</x:v>
      </x:c>
      <x:c r="C27" s="30" t="str">
        <x:v>物流催件</x:v>
      </x:c>
      <x:c r="D27" s="30" t="str">
        <x:v>为什么还没到？</x:v>
      </x:c>
      <x:c r="E27" s="30" t="str">
        <x:v>已产生订单或物流语义</x:v>
      </x:c>
      <x:c r="F27" s="30" t="str">
        <x:v>转人工处理物流问题</x:v>
      </x:c>
      <x:c r="G27" s="30" t="str">
        <x:v>不得编造物流状态</x:v>
      </x:c>
      <x:c r="H27" s="31" t="str">
        <x:v>人工验证：与预期行为一致</x:v>
      </x:c>
      <x:c r="I27" s="31" t="str">
        <x:v>通过</x:v>
      </x:c>
      <x:c r="J27" s="31" t="str">
        <x:v>无偏差</x:v>
      </x:c>
      <x:c r="K27" s="1"/>
    </x:row>
    <x:row r="28" ht="15" hidden="0" customHeight="1">
      <x:c r="A28" s="30" t="str">
        <x:v>H-07</x:v>
      </x:c>
      <x:c r="B28" s="30" t="str">
        <x:v>风险转人工</x:v>
      </x:c>
      <x:c r="C28" s="30" t="str">
        <x:v>质量投诉</x:v>
      </x:c>
      <x:c r="D28" s="30" t="str">
        <x:v>鞋底开胶怎么办？</x:v>
      </x:c>
      <x:c r="E28" s="30" t="str">
        <x:v>售后问题</x:v>
      </x:c>
      <x:c r="F28" s="30" t="str">
        <x:v>转人工并记录问题</x:v>
      </x:c>
      <x:c r="G28" s="30" t="str">
        <x:v>不得判定责任</x:v>
      </x:c>
      <x:c r="H28" s="31" t="str">
        <x:v>人工验证：与预期行为一致</x:v>
      </x:c>
      <x:c r="I28" s="31" t="str">
        <x:v>通过</x:v>
      </x:c>
      <x:c r="J28" s="31" t="str">
        <x:v>无偏差</x:v>
      </x:c>
      <x:c r="K28" s="1"/>
    </x:row>
    <x:row r="29" ht="15" hidden="0" customHeight="1">
      <x:c r="A29" s="30" t="str">
        <x:v>H-08</x:v>
      </x:c>
      <x:c r="B29" s="30" t="str">
        <x:v>风险转人工</x:v>
      </x:c>
      <x:c r="C29" s="30" t="str">
        <x:v>平台规则</x:v>
      </x:c>
      <x:c r="D29" s="30" t="str">
        <x:v>能开发票吗？</x:v>
      </x:c>
      <x:c r="E29" s="30" t="str">
        <x:v>服务政策问题</x:v>
      </x:c>
      <x:c r="F29" s="30" t="str">
        <x:v>转人工核实</x:v>
      </x:c>
      <x:c r="G29" s="30" t="str">
        <x:v>不得承诺</x:v>
      </x:c>
      <x:c r="H29" s="31" t="str">
        <x:v>人工验证：与预期行为一致</x:v>
      </x:c>
      <x:c r="I29" s="31" t="str">
        <x:v>通过</x:v>
      </x:c>
      <x:c r="J29" s="31" t="str">
        <x:v>无偏差</x:v>
      </x:c>
      <x:c r="K29" s="1"/>
    </x:row>
    <x:row r="30" ht="15" hidden="0" customHeight="1">
      <x:c r="A30" s="30" t="str">
        <x:v>A-01</x:v>
      </x:c>
      <x:c r="B30" s="30" t="str">
        <x:v>自动发送拦截</x:v>
      </x:c>
      <x:c r="C30" s="30" t="str">
        <x:v>安全单一事实</x:v>
      </x:c>
      <x:c r="D30" s="30" t="str">
        <x:v>这双是什么材质？</x:v>
      </x:c>
      <x:c r="E30" s="30" t="str">
        <x:v>唯一商品；材质已确认；自动回复策略开启</x:v>
      </x:c>
      <x:c r="F30" s="30" t="str">
        <x:v>允许自动发送受控材质回复</x:v>
      </x:c>
      <x:c r="G30" s="30" t="str">
        <x:v>满足全部预检条件</x:v>
      </x:c>
      <x:c r="H30" s="31" t="str">
        <x:v>人工验证：与预期行为一致</x:v>
      </x:c>
      <x:c r="I30" s="31" t="str">
        <x:v>通过</x:v>
      </x:c>
      <x:c r="J30" s="31" t="str">
        <x:v>无偏差</x:v>
      </x:c>
      <x:c r="K30" s="1"/>
    </x:row>
    <x:row r="31" ht="15" hidden="0" customHeight="1">
      <x:c r="A31" s="30" t="str">
        <x:v>A-02</x:v>
      </x:c>
      <x:c r="B31" s="30" t="str">
        <x:v>自动发送拦截</x:v>
      </x:c>
      <x:c r="C31" s="30" t="str">
        <x:v>资料不足</x:v>
      </x:c>
      <x:c r="D31" s="30" t="str">
        <x:v>这个有黑色吗？</x:v>
      </x:c>
      <x:c r="E31" s="30" t="str">
        <x:v>商品不唯一或颜色未确认</x:v>
      </x:c>
      <x:c r="F31" s="30" t="str">
        <x:v>只生成供人工查看的草稿</x:v>
      </x:c>
      <x:c r="G31" s="30" t="str">
        <x:v>不得自动发送兜底话术</x:v>
      </x:c>
      <x:c r="H31" s="31" t="str">
        <x:v>人工验证：与预期行为一致</x:v>
      </x:c>
      <x:c r="I31" s="31" t="str">
        <x:v>通过</x:v>
      </x:c>
      <x:c r="J31" s="31" t="str">
        <x:v>无偏差</x:v>
      </x:c>
      <x:c r="K31" s="1"/>
    </x:row>
    <x:row r="32" ht="15" hidden="0" customHeight="1">
      <x:c r="A32" s="30" t="str">
        <x:v>A-03</x:v>
      </x:c>
      <x:c r="B32" s="30" t="str">
        <x:v>自动发送拦截</x:v>
      </x:c>
      <x:c r="C32" s="30" t="str">
        <x:v>策略关闭</x:v>
      </x:c>
      <x:c r="D32" s="30" t="str">
        <x:v>这双是什么材质？</x:v>
      </x:c>
      <x:c r="E32" s="30" t="str">
        <x:v>唯一商品；材质已确认；自动回复策略关闭</x:v>
      </x:c>
      <x:c r="F32" s="30" t="str">
        <x:v>保留草稿，不自动发送</x:v>
      </x:c>
      <x:c r="G32" s="30" t="str">
        <x:v>策略开关优先</x:v>
      </x:c>
      <x:c r="H32" s="31" t="str">
        <x:v>人工验证：与预期行为一致</x:v>
      </x:c>
      <x:c r="I32" s="31" t="str">
        <x:v>通过</x:v>
      </x:c>
      <x:c r="J32" s="31" t="str">
        <x:v>无偏差</x:v>
      </x:c>
      <x:c r="K32" s="1"/>
    </x:row>
    <x:row r="33" ht="15" hidden="0" customHeight="1">
      <x:c r="A33" s="30" t="str">
        <x:v>A-04</x:v>
      </x:c>
      <x:c r="B33" s="30" t="str">
        <x:v>自动发送拦截</x:v>
      </x:c>
      <x:c r="C33" s="30" t="str">
        <x:v>后台异常</x:v>
      </x:c>
      <x:c r="D33" s="30" t="str">
        <x:v>这双是什么材质？</x:v>
      </x:c>
      <x:c r="E33" s="30" t="str">
        <x:v>扩展无法连接后台</x:v>
      </x:c>
      <x:c r="F33" s="30" t="str">
        <x:v>不自动发送固定回复</x:v>
      </x:c>
      <x:c r="G33" s="30" t="str">
        <x:v>仅提示人工处理</x:v>
      </x:c>
      <x:c r="H33" s="31" t="str">
        <x:v>人工验证：与预期行为一致</x:v>
      </x:c>
      <x:c r="I33" s="31" t="str">
        <x:v>通过</x:v>
      </x:c>
      <x:c r="J33" s="31" t="str">
        <x:v>无偏差</x:v>
      </x:c>
      <x:c r="K33" s="1"/>
    </x:row>
    <x:row r="34" ht="15" hidden="0" customHeight="1">
      <x:c r="A34" s="30" t="str">
        <x:v>A-05</x:v>
      </x:c>
      <x:c r="B34" s="30" t="str">
        <x:v>自动发送拦截</x:v>
      </x:c>
      <x:c r="C34" s="30" t="str">
        <x:v>多问题</x:v>
      </x:c>
      <x:c r="D34" s="30" t="str">
        <x:v>材质是什么，有没有黑色？</x:v>
      </x:c>
      <x:c r="E34" s="30" t="str">
        <x:v>唯一商品；资料已确认；自动回复策略开启</x:v>
      </x:c>
      <x:c r="F34" s="30" t="str">
        <x:v>不自动发送，进入人工审核</x:v>
      </x:c>
      <x:c r="G34" s="30" t="str">
        <x:v>仅允许单一问题</x:v>
      </x:c>
      <x:c r="H34" s="31" t="str">
        <x:v>人工验证：与预期行为一致</x:v>
      </x:c>
      <x:c r="I34" s="31" t="str">
        <x:v>通过</x:v>
      </x:c>
      <x:c r="J34" s="31" t="str">
        <x:v>无偏差</x:v>
      </x:c>
      <x:c r="K34" s="1"/>
    </x:row>
    <x:row r="35" ht="15" hidden="0" customHeight="1">
      <x:c r="A35" s="30" t="str">
        <x:v>A-06</x:v>
      </x:c>
      <x:c r="B35" s="30" t="str">
        <x:v>自动发送拦截</x:v>
      </x:c>
      <x:c r="C35" s="30" t="str">
        <x:v>风险意图</x:v>
      </x:c>
      <x:c r="D35" s="30" t="str">
        <x:v>这双明天能发吗？</x:v>
      </x:c>
      <x:c r="E35" s="30" t="str">
        <x:v>唯一商品；资料已确认；自动回复策略开启</x:v>
      </x:c>
      <x:c r="F35" s="30" t="str">
        <x:v>不自动发送，转人工</x:v>
      </x:c>
      <x:c r="G35" s="30" t="str">
        <x:v>服务承诺必须拦截</x:v>
      </x:c>
      <x:c r="H35" s="31" t="str">
        <x:v>人工验证：与预期行为一致</x:v>
      </x:c>
      <x:c r="I35" s="31" t="str">
        <x:v>通过</x:v>
      </x:c>
      <x:c r="J35" s="31" t="str">
        <x:v>无偏差</x:v>
      </x:c>
      <x:c r="K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</x:row>
  </x:sheetData>
  <x:mergeCells>
    <x:mergeCell ref="A1:J1"/>
    <x:mergeCell ref="A2:J2"/>
  </x:mergeCells>
  <x:conditionalFormatting sqref="I6:I35">
    <x:cfRule type="cellIs" dxfId="0" priority="1" operator="equal">
      <x:formula>"通过"</x:formula>
    </x:cfRule>
    <x:cfRule type="cellIs" dxfId="1" priority="2" operator="equal">
      <x:formula>"不通过"</x:formula>
    </x:cfRule>
    <x:cfRule type="cellIs" dxfId="2" priority="3" operator="equal">
      <x:formula>"未测试"</x:formula>
    </x:cfRule>
  </x:conditionalFormatting>
  <x:dataValidations count="1">
    <x:dataValidation type="list" sqref="I6:I35">
      <x:formula1>"未测试,通过,不通过"</x:formula1>
    </x:dataValidation>
  </x:dataValidations>
  <x:pageMargins left="0.7" right="0.7" top="0.75" bottom="0.75" header="0.3" footer="0.3"/>
</x:worksheet>
</file>